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0" documentId="8_{6DFFA7EF-19CE-4039-A981-ED8DE0E8AA5C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8"/>
  <pivotCaches>
    <pivotCache cacheId="1798" r:id="rId7"/>
    <pivotCache cacheId="179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19" i="1"/>
  <c r="H19" i="1" s="1"/>
  <c r="G27" i="1"/>
  <c r="H27" i="1" s="1"/>
  <c r="G2" i="1"/>
  <c r="H2" i="1" s="1"/>
  <c r="G5" i="1"/>
  <c r="H5" i="1" s="1"/>
  <c r="G18" i="1"/>
  <c r="H18" i="1" s="1"/>
  <c r="G15" i="1"/>
  <c r="H15" i="1" s="1"/>
  <c r="G10" i="1"/>
  <c r="H10" i="1" s="1"/>
  <c r="G4" i="1"/>
  <c r="H4" i="1" s="1"/>
  <c r="G22" i="1"/>
  <c r="H22" i="1" s="1"/>
  <c r="G28" i="1"/>
  <c r="H28" i="1" s="1"/>
  <c r="G20" i="1"/>
  <c r="H20" i="1" s="1"/>
  <c r="G21" i="1"/>
  <c r="H21" i="1" s="1"/>
  <c r="G13" i="1"/>
  <c r="H13" i="1" s="1"/>
  <c r="G6" i="1"/>
  <c r="H6" i="1" s="1"/>
  <c r="G12" i="1"/>
  <c r="H12" i="1" s="1"/>
  <c r="G8" i="1"/>
  <c r="H8" i="1" s="1"/>
  <c r="G26" i="1"/>
  <c r="H26" i="1" s="1"/>
  <c r="G9" i="1"/>
  <c r="H9" i="1" s="1"/>
  <c r="G3" i="1"/>
  <c r="H3" i="1" s="1"/>
  <c r="G7" i="1"/>
  <c r="H7" i="1" s="1"/>
  <c r="G11" i="1"/>
  <c r="H11" i="1" s="1"/>
  <c r="G14" i="1"/>
  <c r="H14" i="1" s="1"/>
  <c r="G16" i="1"/>
  <c r="H16" i="1" s="1"/>
  <c r="G17" i="1"/>
  <c r="H17" i="1" s="1"/>
  <c r="G23" i="1"/>
  <c r="H23" i="1" s="1"/>
  <c r="G24" i="1"/>
  <c r="H24" i="1" s="1"/>
  <c r="G25" i="1"/>
  <c r="H25" i="1" s="1"/>
  <c r="G29" i="1"/>
  <c r="H29" i="1" s="1"/>
</calcChain>
</file>

<file path=xl/sharedStrings.xml><?xml version="1.0" encoding="utf-8"?>
<sst xmlns="http://schemas.openxmlformats.org/spreadsheetml/2006/main" count="256" uniqueCount="39">
  <si>
    <t xml:space="preserve">Order_Date </t>
  </si>
  <si>
    <t xml:space="preserve"> Region </t>
  </si>
  <si>
    <t xml:space="preserve"> Category </t>
  </si>
  <si>
    <t xml:space="preserve"> Product </t>
  </si>
  <si>
    <t xml:space="preserve"> Sales </t>
  </si>
  <si>
    <t xml:space="preserve"> Cost</t>
  </si>
  <si>
    <t>Profit</t>
  </si>
  <si>
    <t xml:space="preserve">Profit_Status </t>
  </si>
  <si>
    <t>Action_Recommendation</t>
  </si>
  <si>
    <t xml:space="preserve"> South </t>
  </si>
  <si>
    <t xml:space="preserve"> Appliances </t>
  </si>
  <si>
    <t xml:space="preserve"> Refrigerator </t>
  </si>
  <si>
    <t xml:space="preserve"> West </t>
  </si>
  <si>
    <t xml:space="preserve"> Heater </t>
  </si>
  <si>
    <t xml:space="preserve"> Washing Machine </t>
  </si>
  <si>
    <t xml:space="preserve"> Clothing </t>
  </si>
  <si>
    <t xml:space="preserve"> Rain Jacket </t>
  </si>
  <si>
    <t xml:space="preserve"> Sweater </t>
  </si>
  <si>
    <t xml:space="preserve"> East </t>
  </si>
  <si>
    <t xml:space="preserve"> Jacket </t>
  </si>
  <si>
    <t xml:space="preserve"> North </t>
  </si>
  <si>
    <t xml:space="preserve"> Air Conditioner </t>
  </si>
  <si>
    <t xml:space="preserve"> Electronics </t>
  </si>
  <si>
    <t xml:space="preserve"> Mobile Phone </t>
  </si>
  <si>
    <t xml:space="preserve"> Power Bank </t>
  </si>
  <si>
    <t xml:space="preserve"> Laptop </t>
  </si>
  <si>
    <t xml:space="preserve">Count of  Product </t>
  </si>
  <si>
    <t>Break-even</t>
  </si>
  <si>
    <t>Loss</t>
  </si>
  <si>
    <t>Grand Total</t>
  </si>
  <si>
    <t xml:space="preserve">Count of Profit_Status </t>
  </si>
  <si>
    <t xml:space="preserve"> East  Total</t>
  </si>
  <si>
    <t xml:space="preserve"> North  Total</t>
  </si>
  <si>
    <t xml:space="preserve"> South  Total</t>
  </si>
  <si>
    <t xml:space="preserve"> West  Total</t>
  </si>
  <si>
    <t>Sum of Profit</t>
  </si>
  <si>
    <t>Continue</t>
  </si>
  <si>
    <t>Stop</t>
  </si>
  <si>
    <t>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</si>
</sst>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pivotButton="1"/>
    <xf numFmtId="0" fontId="0" fillId="0" borderId="0" xfId="0" applyNumberFormat="1"/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257175</xdr:colOff>
      <xdr:row>18</xdr:row>
      <xdr:rowOff>85725</xdr:rowOff>
    </xdr:from>
    <xdr:to>
      <xdr:col>14</xdr:col>
      <xdr:colOff>123825</xdr:colOff>
      <xdr:row>23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0BB9D50-EEC7-1D49-B1CA-D2DD3716C94F}"/>
            </a:ext>
          </a:extLst>
        </xdr:cNvPr>
        <xdr:cNvSpPr txBox="1"/>
      </xdr:nvSpPr>
      <xdr:spPr>
        <a:xfrm>
          <a:off x="8886825" y="3514725"/>
          <a:ext cx="9525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4.567336342596" createdVersion="8" refreshedVersion="8" minRefreshableVersion="3" recordCount="28" xr:uid="{ECFF09E6-EDD3-4DBB-8A44-B983B67E9078}">
  <cacheSource type="worksheet">
    <worksheetSource ref="A1:H29" sheet="Sheet1"/>
  </cacheSource>
  <cacheFields count="8">
    <cacheField name="Order_Date " numFmtId="0">
      <sharedItems containsSemiMixedTypes="0" containsNonDate="0" containsDate="1" containsString="0" minDate="2024-01-06T00:00:00" maxDate="2025-01-30T00:00:00"/>
    </cacheField>
    <cacheField name=" Region " numFmtId="0">
      <sharedItems count="4">
        <s v=" South "/>
        <s v=" West "/>
        <s v=" East "/>
        <s v=" North "/>
      </sharedItems>
    </cacheField>
    <cacheField name=" Category " numFmtId="0">
      <sharedItems/>
    </cacheField>
    <cacheField name=" Product " numFmtId="0">
      <sharedItems count="10">
        <s v=" Refrigerator "/>
        <s v=" Heater "/>
        <s v=" Washing Machine "/>
        <s v=" Rain Jacket "/>
        <s v=" Sweater "/>
        <s v=" Jacket "/>
        <s v=" Air Conditioner "/>
        <s v=" Mobile Phone "/>
        <s v=" Power Bank "/>
        <s v=" Laptop "/>
      </sharedItems>
    </cacheField>
    <cacheField name=" Sales " numFmtId="0">
      <sharedItems containsSemiMixedTypes="0" containsString="0" containsNumber="1" containsInteger="1" minValue="1000" maxValue="20000"/>
    </cacheField>
    <cacheField name=" Cost" numFmtId="0">
      <sharedItems containsSemiMixedTypes="0" containsString="0" containsNumber="1" containsInteger="1" minValue="1200" maxValue="18500"/>
    </cacheField>
    <cacheField name="Profit" numFmtId="0">
      <sharedItems containsSemiMixedTypes="0" containsString="0" containsNumber="1" containsInteger="1" minValue="-1000" maxValue="2000"/>
    </cacheField>
    <cacheField name="Profit_Status " numFmtId="0">
      <sharedItems count="3">
        <s v="Loss"/>
        <s v="Break-even"/>
        <s v="Profi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4.568274074074" createdVersion="8" refreshedVersion="8" minRefreshableVersion="3" recordCount="28" xr:uid="{1AACA950-6952-4BF7-A06B-89787FB2D3FD}">
  <cacheSource type="worksheet">
    <worksheetSource ref="A1:I29" sheet="Sheet1"/>
  </cacheSource>
  <cacheFields count="9">
    <cacheField name="Order_Date " numFmtId="0">
      <sharedItems containsSemiMixedTypes="0" containsNonDate="0" containsDate="1" containsString="0" minDate="2024-01-06T00:00:00" maxDate="2025-01-30T00:00:00"/>
    </cacheField>
    <cacheField name=" Region " numFmtId="0">
      <sharedItems count="4">
        <s v=" South "/>
        <s v=" West "/>
        <s v=" East "/>
        <s v=" North "/>
      </sharedItems>
    </cacheField>
    <cacheField name=" Category " numFmtId="0">
      <sharedItems/>
    </cacheField>
    <cacheField name=" Product " numFmtId="0">
      <sharedItems count="10">
        <s v=" Refrigerator "/>
        <s v=" Heater "/>
        <s v=" Washing Machine "/>
        <s v=" Rain Jacket "/>
        <s v=" Sweater "/>
        <s v=" Jacket "/>
        <s v=" Air Conditioner "/>
        <s v=" Mobile Phone "/>
        <s v=" Power Bank "/>
        <s v=" Laptop "/>
      </sharedItems>
    </cacheField>
    <cacheField name=" Sales " numFmtId="0">
      <sharedItems containsSemiMixedTypes="0" containsString="0" containsNumber="1" containsInteger="1" minValue="1000" maxValue="20000"/>
    </cacheField>
    <cacheField name=" Cost" numFmtId="0">
      <sharedItems containsSemiMixedTypes="0" containsString="0" containsNumber="1" containsInteger="1" minValue="1200" maxValue="18500"/>
    </cacheField>
    <cacheField name="Profit" numFmtId="0">
      <sharedItems containsSemiMixedTypes="0" containsString="0" containsNumber="1" containsInteger="1" minValue="-1000" maxValue="2000"/>
    </cacheField>
    <cacheField name="Profit_Status " numFmtId="0">
      <sharedItems/>
    </cacheField>
    <cacheField name="Action_Recommendation" numFmtId="0">
      <sharedItems count="3">
        <s v="Stop"/>
        <s v="Review"/>
        <s v="Continu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01-12T00:00:00"/>
    <x v="0"/>
    <s v=" Appliances "/>
    <x v="0"/>
    <n v="16000"/>
    <n v="17000"/>
    <n v="-1000"/>
    <x v="0"/>
  </r>
  <r>
    <d v="2025-01-29T00:00:00"/>
    <x v="1"/>
    <s v=" Appliances "/>
    <x v="1"/>
    <n v="3000"/>
    <n v="3500"/>
    <n v="-500"/>
    <x v="0"/>
  </r>
  <r>
    <d v="2025-01-17T00:00:00"/>
    <x v="1"/>
    <s v=" Appliances "/>
    <x v="2"/>
    <n v="11000"/>
    <n v="11500"/>
    <n v="-500"/>
    <x v="0"/>
  </r>
  <r>
    <d v="2025-01-13T00:00:00"/>
    <x v="1"/>
    <s v=" Appliances "/>
    <x v="0"/>
    <n v="15000"/>
    <n v="15500"/>
    <n v="-500"/>
    <x v="0"/>
  </r>
  <r>
    <d v="2025-01-23T00:00:00"/>
    <x v="0"/>
    <s v=" Clothing "/>
    <x v="3"/>
    <n v="1800"/>
    <n v="2200"/>
    <n v="-400"/>
    <x v="0"/>
  </r>
  <r>
    <d v="2025-01-11T00:00:00"/>
    <x v="0"/>
    <s v=" Clothing "/>
    <x v="4"/>
    <n v="1000"/>
    <n v="1200"/>
    <n v="-200"/>
    <x v="0"/>
  </r>
  <r>
    <d v="2025-01-25T00:00:00"/>
    <x v="1"/>
    <s v=" Clothing "/>
    <x v="3"/>
    <n v="2000"/>
    <n v="2000"/>
    <n v="0"/>
    <x v="1"/>
  </r>
  <r>
    <d v="2025-01-28T00:00:00"/>
    <x v="2"/>
    <s v=" Clothing "/>
    <x v="4"/>
    <n v="2000"/>
    <n v="2000"/>
    <n v="0"/>
    <x v="1"/>
  </r>
  <r>
    <d v="2025-01-16T00:00:00"/>
    <x v="0"/>
    <s v=" Appliances "/>
    <x v="2"/>
    <n v="13000"/>
    <n v="13000"/>
    <n v="0"/>
    <x v="1"/>
  </r>
  <r>
    <d v="2025-01-14T00:00:00"/>
    <x v="2"/>
    <s v=" Clothing "/>
    <x v="5"/>
    <n v="2500"/>
    <n v="2300"/>
    <n v="200"/>
    <x v="2"/>
  </r>
  <r>
    <d v="2025-01-24T00:00:00"/>
    <x v="2"/>
    <s v=" Clothing "/>
    <x v="3"/>
    <n v="2800"/>
    <n v="2600"/>
    <n v="200"/>
    <x v="2"/>
  </r>
  <r>
    <d v="2025-01-22T00:00:00"/>
    <x v="3"/>
    <s v=" Clothing "/>
    <x v="3"/>
    <n v="3500"/>
    <n v="3000"/>
    <n v="500"/>
    <x v="2"/>
  </r>
  <r>
    <d v="2025-01-12T00:00:00"/>
    <x v="3"/>
    <s v=" Appliances "/>
    <x v="6"/>
    <n v="6000"/>
    <n v="5500"/>
    <n v="500"/>
    <x v="2"/>
  </r>
  <r>
    <d v="2025-01-15T00:00:00"/>
    <x v="3"/>
    <s v=" Appliances "/>
    <x v="2"/>
    <n v="14000"/>
    <n v="13500"/>
    <n v="500"/>
    <x v="2"/>
  </r>
  <r>
    <d v="2024-01-06T00:00:00"/>
    <x v="3"/>
    <s v=" Clothing "/>
    <x v="5"/>
    <n v="3000"/>
    <n v="2000"/>
    <n v="1000"/>
    <x v="2"/>
  </r>
  <r>
    <d v="2025-01-13T00:00:00"/>
    <x v="1"/>
    <s v=" Electronics "/>
    <x v="7"/>
    <n v="9000"/>
    <n v="8000"/>
    <n v="1000"/>
    <x v="2"/>
  </r>
  <r>
    <d v="2025-01-14T00:00:00"/>
    <x v="2"/>
    <s v=" Appliances "/>
    <x v="2"/>
    <n v="12000"/>
    <n v="11000"/>
    <n v="1000"/>
    <x v="2"/>
  </r>
  <r>
    <d v="2025-01-10T00:00:00"/>
    <x v="2"/>
    <s v=" Appliances "/>
    <x v="0"/>
    <n v="18000"/>
    <n v="17000"/>
    <n v="1000"/>
    <x v="2"/>
  </r>
  <r>
    <d v="2025-01-20T00:00:00"/>
    <x v="2"/>
    <s v=" Electronics "/>
    <x v="8"/>
    <n v="3800"/>
    <n v="2400"/>
    <n v="1400"/>
    <x v="2"/>
  </r>
  <r>
    <d v="2025-01-21T00:00:00"/>
    <x v="1"/>
    <s v=" Electronics "/>
    <x v="8"/>
    <n v="4200"/>
    <n v="2800"/>
    <n v="1400"/>
    <x v="2"/>
  </r>
  <r>
    <d v="2025-01-18T00:00:00"/>
    <x v="3"/>
    <s v=" Electronics "/>
    <x v="8"/>
    <n v="4000"/>
    <n v="2500"/>
    <n v="1500"/>
    <x v="2"/>
  </r>
  <r>
    <d v="2025-01-05T00:00:00"/>
    <x v="3"/>
    <s v=" Clothing "/>
    <x v="4"/>
    <n v="5000"/>
    <n v="3500"/>
    <n v="1500"/>
    <x v="2"/>
  </r>
  <r>
    <d v="2025-01-07T00:00:00"/>
    <x v="0"/>
    <s v=" Appliances "/>
    <x v="6"/>
    <n v="8000"/>
    <n v="6500"/>
    <n v="1500"/>
    <x v="2"/>
  </r>
  <r>
    <d v="2025-01-08T00:00:00"/>
    <x v="0"/>
    <s v=" Electronics "/>
    <x v="7"/>
    <n v="12000"/>
    <n v="10500"/>
    <n v="1500"/>
    <x v="2"/>
  </r>
  <r>
    <d v="2025-01-27T00:00:00"/>
    <x v="3"/>
    <s v=" Electronics "/>
    <x v="9"/>
    <n v="19000"/>
    <n v="17500"/>
    <n v="1500"/>
    <x v="2"/>
  </r>
  <r>
    <d v="2025-01-11T00:00:00"/>
    <x v="3"/>
    <s v=" Appliances "/>
    <x v="0"/>
    <n v="20000"/>
    <n v="18500"/>
    <n v="1500"/>
    <x v="2"/>
  </r>
  <r>
    <d v="2025-01-19T00:00:00"/>
    <x v="0"/>
    <s v=" Electronics "/>
    <x v="8"/>
    <n v="4500"/>
    <n v="2600"/>
    <n v="1900"/>
    <x v="2"/>
  </r>
  <r>
    <d v="2025-01-09T00:00:00"/>
    <x v="2"/>
    <s v=" Electronics "/>
    <x v="9"/>
    <n v="15000"/>
    <n v="13000"/>
    <n v="200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01-12T00:00:00"/>
    <x v="0"/>
    <s v=" Appliances "/>
    <x v="0"/>
    <n v="16000"/>
    <n v="17000"/>
    <n v="-1000"/>
    <s v="Loss"/>
    <x v="0"/>
  </r>
  <r>
    <d v="2025-01-29T00:00:00"/>
    <x v="1"/>
    <s v=" Appliances "/>
    <x v="1"/>
    <n v="3000"/>
    <n v="3500"/>
    <n v="-500"/>
    <s v="Loss"/>
    <x v="0"/>
  </r>
  <r>
    <d v="2025-01-17T00:00:00"/>
    <x v="1"/>
    <s v=" Appliances "/>
    <x v="2"/>
    <n v="11000"/>
    <n v="11500"/>
    <n v="-500"/>
    <s v="Loss"/>
    <x v="0"/>
  </r>
  <r>
    <d v="2025-01-13T00:00:00"/>
    <x v="1"/>
    <s v=" Appliances "/>
    <x v="0"/>
    <n v="15000"/>
    <n v="15500"/>
    <n v="-500"/>
    <s v="Loss"/>
    <x v="0"/>
  </r>
  <r>
    <d v="2025-01-23T00:00:00"/>
    <x v="0"/>
    <s v=" Clothing "/>
    <x v="3"/>
    <n v="1800"/>
    <n v="2200"/>
    <n v="-400"/>
    <s v="Loss"/>
    <x v="0"/>
  </r>
  <r>
    <d v="2025-01-11T00:00:00"/>
    <x v="0"/>
    <s v=" Clothing "/>
    <x v="4"/>
    <n v="1000"/>
    <n v="1200"/>
    <n v="-200"/>
    <s v="Loss"/>
    <x v="0"/>
  </r>
  <r>
    <d v="2025-01-25T00:00:00"/>
    <x v="1"/>
    <s v=" Clothing "/>
    <x v="3"/>
    <n v="2000"/>
    <n v="2000"/>
    <n v="0"/>
    <s v="Break-even"/>
    <x v="1"/>
  </r>
  <r>
    <d v="2025-01-28T00:00:00"/>
    <x v="2"/>
    <s v=" Clothing "/>
    <x v="4"/>
    <n v="2000"/>
    <n v="2000"/>
    <n v="0"/>
    <s v="Break-even"/>
    <x v="1"/>
  </r>
  <r>
    <d v="2025-01-16T00:00:00"/>
    <x v="0"/>
    <s v=" Appliances "/>
    <x v="2"/>
    <n v="13000"/>
    <n v="13000"/>
    <n v="0"/>
    <s v="Break-even"/>
    <x v="1"/>
  </r>
  <r>
    <d v="2025-01-14T00:00:00"/>
    <x v="2"/>
    <s v=" Clothing "/>
    <x v="5"/>
    <n v="2500"/>
    <n v="2300"/>
    <n v="200"/>
    <s v="Profit"/>
    <x v="2"/>
  </r>
  <r>
    <d v="2025-01-24T00:00:00"/>
    <x v="2"/>
    <s v=" Clothing "/>
    <x v="3"/>
    <n v="2800"/>
    <n v="2600"/>
    <n v="200"/>
    <s v="Profit"/>
    <x v="2"/>
  </r>
  <r>
    <d v="2025-01-22T00:00:00"/>
    <x v="3"/>
    <s v=" Clothing "/>
    <x v="3"/>
    <n v="3500"/>
    <n v="3000"/>
    <n v="500"/>
    <s v="Profit"/>
    <x v="2"/>
  </r>
  <r>
    <d v="2025-01-12T00:00:00"/>
    <x v="3"/>
    <s v=" Appliances "/>
    <x v="6"/>
    <n v="6000"/>
    <n v="5500"/>
    <n v="500"/>
    <s v="Profit"/>
    <x v="2"/>
  </r>
  <r>
    <d v="2025-01-15T00:00:00"/>
    <x v="3"/>
    <s v=" Appliances "/>
    <x v="2"/>
    <n v="14000"/>
    <n v="13500"/>
    <n v="500"/>
    <s v="Profit"/>
    <x v="2"/>
  </r>
  <r>
    <d v="2024-01-06T00:00:00"/>
    <x v="3"/>
    <s v=" Clothing "/>
    <x v="5"/>
    <n v="3000"/>
    <n v="2000"/>
    <n v="1000"/>
    <s v="Profit"/>
    <x v="2"/>
  </r>
  <r>
    <d v="2025-01-13T00:00:00"/>
    <x v="1"/>
    <s v=" Electronics "/>
    <x v="7"/>
    <n v="9000"/>
    <n v="8000"/>
    <n v="1000"/>
    <s v="Profit"/>
    <x v="2"/>
  </r>
  <r>
    <d v="2025-01-14T00:00:00"/>
    <x v="2"/>
    <s v=" Appliances "/>
    <x v="2"/>
    <n v="12000"/>
    <n v="11000"/>
    <n v="1000"/>
    <s v="Profit"/>
    <x v="2"/>
  </r>
  <r>
    <d v="2025-01-10T00:00:00"/>
    <x v="2"/>
    <s v=" Appliances "/>
    <x v="0"/>
    <n v="18000"/>
    <n v="17000"/>
    <n v="1000"/>
    <s v="Profit"/>
    <x v="2"/>
  </r>
  <r>
    <d v="2025-01-20T00:00:00"/>
    <x v="2"/>
    <s v=" Electronics "/>
    <x v="8"/>
    <n v="3800"/>
    <n v="2400"/>
    <n v="1400"/>
    <s v="Profit"/>
    <x v="2"/>
  </r>
  <r>
    <d v="2025-01-21T00:00:00"/>
    <x v="1"/>
    <s v=" Electronics "/>
    <x v="8"/>
    <n v="4200"/>
    <n v="2800"/>
    <n v="1400"/>
    <s v="Profit"/>
    <x v="2"/>
  </r>
  <r>
    <d v="2025-01-18T00:00:00"/>
    <x v="3"/>
    <s v=" Electronics "/>
    <x v="8"/>
    <n v="4000"/>
    <n v="2500"/>
    <n v="1500"/>
    <s v="Profit"/>
    <x v="2"/>
  </r>
  <r>
    <d v="2025-01-05T00:00:00"/>
    <x v="3"/>
    <s v=" Clothing "/>
    <x v="4"/>
    <n v="5000"/>
    <n v="3500"/>
    <n v="1500"/>
    <s v="Profit"/>
    <x v="2"/>
  </r>
  <r>
    <d v="2025-01-07T00:00:00"/>
    <x v="0"/>
    <s v=" Appliances "/>
    <x v="6"/>
    <n v="8000"/>
    <n v="6500"/>
    <n v="1500"/>
    <s v="Profit"/>
    <x v="2"/>
  </r>
  <r>
    <d v="2025-01-08T00:00:00"/>
    <x v="0"/>
    <s v=" Electronics "/>
    <x v="7"/>
    <n v="12000"/>
    <n v="10500"/>
    <n v="1500"/>
    <s v="Profit"/>
    <x v="2"/>
  </r>
  <r>
    <d v="2025-01-27T00:00:00"/>
    <x v="3"/>
    <s v=" Electronics "/>
    <x v="9"/>
    <n v="19000"/>
    <n v="17500"/>
    <n v="1500"/>
    <s v="Profit"/>
    <x v="2"/>
  </r>
  <r>
    <d v="2025-01-11T00:00:00"/>
    <x v="3"/>
    <s v=" Appliances "/>
    <x v="0"/>
    <n v="20000"/>
    <n v="18500"/>
    <n v="1500"/>
    <s v="Profit"/>
    <x v="2"/>
  </r>
  <r>
    <d v="2025-01-19T00:00:00"/>
    <x v="0"/>
    <s v=" Electronics "/>
    <x v="8"/>
    <n v="4500"/>
    <n v="2600"/>
    <n v="1900"/>
    <s v="Profit"/>
    <x v="2"/>
  </r>
  <r>
    <d v="2025-01-09T00:00:00"/>
    <x v="2"/>
    <s v=" Electronics "/>
    <x v="9"/>
    <n v="15000"/>
    <n v="13000"/>
    <n v="2000"/>
    <s v="Profit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9B35E-7A3C-4CE1-8A5A-4BDC1CDD7FAE}" name="PivotTable3" cacheId="17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9" firstHeaderRow="1" firstDataRow="2" firstDataCol="1"/>
  <pivotFields count="8"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 Product " fld="3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84DA8A-C232-4B76-BA50-3B81F70C9514}" name="PivotTable4" cacheId="17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5" firstHeaderRow="1" firstDataRow="2" firstDataCol="1"/>
  <pivotFields count="8">
    <pivotField compact="0" outline="0" showAll="0"/>
    <pivotField compact="0" outline="0" showAll="0"/>
    <pivotField compact="0" outline="0" showAll="0"/>
    <pivotField axis="axisRow" dataField="1" compact="0" outline="0" showAll="0">
      <items count="11">
        <item x="6"/>
        <item x="1"/>
        <item x="5"/>
        <item x="9"/>
        <item x="7"/>
        <item x="8"/>
        <item x="3"/>
        <item x="0"/>
        <item x="4"/>
        <item x="2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 Product " fld="3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5FCBC-B03C-460F-97B8-61F5E9BCD00A}" name="PivotTable5" cacheId="17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37" firstHeaderRow="1" firstDataRow="2" firstDataCol="2"/>
  <pivotFields count="8"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axis="axisRow" compact="0" outline="0" showAll="0">
      <items count="11">
        <item x="6"/>
        <item x="1"/>
        <item x="5"/>
        <item x="9"/>
        <item x="7"/>
        <item x="8"/>
        <item x="3"/>
        <item x="0"/>
        <item x="4"/>
        <item x="2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4">
        <item x="1"/>
        <item x="0"/>
        <item x="2"/>
        <item t="default"/>
      </items>
    </pivotField>
  </pivotFields>
  <rowFields count="2">
    <field x="1"/>
    <field x="3"/>
  </rowFields>
  <rowItems count="33">
    <i>
      <x/>
      <x v="2"/>
    </i>
    <i r="1">
      <x v="3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t="default">
      <x v="1"/>
    </i>
    <i>
      <x v="2"/>
      <x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>
      <x v="3"/>
      <x v="1"/>
    </i>
    <i r="1">
      <x v="4"/>
    </i>
    <i r="1">
      <x v="5"/>
    </i>
    <i r="1">
      <x v="6"/>
    </i>
    <i r="1">
      <x v="7"/>
    </i>
    <i r="1">
      <x v="9"/>
    </i>
    <i t="default"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Profit_Status " fld="7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E1BFB6-8E88-41DB-B664-8E6A40E53109}" name="PivotTable6" cacheId="17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5" firstHeaderRow="1" firstDataRow="2" firstDataCol="1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11">
        <item x="6"/>
        <item x="1"/>
        <item x="5"/>
        <item x="9"/>
        <item x="7"/>
        <item x="8"/>
        <item x="3"/>
        <item x="0"/>
        <item x="4"/>
        <item x="2"/>
        <item t="default"/>
      </items>
    </pivotField>
    <pivotField compact="0" outline="0" showAll="0"/>
    <pivotField compact="0" outline="0" showAll="0"/>
    <pivotField dataField="1" compact="0" outline="0" showAll="0"/>
    <pivotField axis="axisCol" compact="0" outline="0" showAll="0">
      <items count="4">
        <item x="1"/>
        <item x="0"/>
        <item x="2"/>
        <item t="default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Profit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6EBB5-B674-4A25-BA4E-8D717E5A6C65}" name="PivotTable7" cacheId="17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42" firstHeaderRow="1" firstDataRow="1" firstDataCol="3"/>
  <pivotFields count="9">
    <pivotField compact="0" outline="0" showAll="0"/>
    <pivotField axis="axisRow" compact="0" outline="0" showAll="0" defaultSubtotal="0">
      <items count="4">
        <item x="2"/>
        <item x="3"/>
        <item x="0"/>
        <item x="1"/>
      </items>
    </pivotField>
    <pivotField compact="0" outline="0" showAll="0"/>
    <pivotField axis="axisRow" compact="0" outline="0" showAll="0" insertBlankRow="1" defaultSubtotal="0">
      <items count="10">
        <item x="6"/>
        <item x="1"/>
        <item x="5"/>
        <item x="9"/>
        <item x="7"/>
        <item x="8"/>
        <item x="3"/>
        <item x="0"/>
        <item x="4"/>
        <item x="2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</pivotFields>
  <rowFields count="3">
    <field x="3"/>
    <field x="1"/>
    <field x="8"/>
  </rowFields>
  <rowItems count="39">
    <i>
      <x/>
      <x v="1"/>
      <x/>
    </i>
    <i r="1">
      <x v="2"/>
      <x/>
    </i>
    <i t="blank">
      <x/>
    </i>
    <i>
      <x v="1"/>
      <x v="3"/>
      <x v="2"/>
    </i>
    <i t="blank">
      <x v="1"/>
    </i>
    <i>
      <x v="2"/>
      <x/>
      <x/>
    </i>
    <i r="1">
      <x v="1"/>
      <x/>
    </i>
    <i t="blank">
      <x v="2"/>
    </i>
    <i>
      <x v="3"/>
      <x/>
      <x/>
    </i>
    <i r="1">
      <x v="1"/>
      <x/>
    </i>
    <i t="blank">
      <x v="3"/>
    </i>
    <i>
      <x v="4"/>
      <x v="2"/>
      <x/>
    </i>
    <i r="1">
      <x v="3"/>
      <x/>
    </i>
    <i t="blank">
      <x v="4"/>
    </i>
    <i>
      <x v="5"/>
      <x/>
      <x/>
    </i>
    <i r="1">
      <x v="1"/>
      <x/>
    </i>
    <i r="1">
      <x v="2"/>
      <x/>
    </i>
    <i r="1">
      <x v="3"/>
      <x/>
    </i>
    <i t="blank">
      <x v="5"/>
    </i>
    <i>
      <x v="6"/>
      <x/>
      <x/>
    </i>
    <i r="1">
      <x v="1"/>
      <x/>
    </i>
    <i r="1">
      <x v="2"/>
      <x v="2"/>
    </i>
    <i r="1">
      <x v="3"/>
      <x v="1"/>
    </i>
    <i t="blank">
      <x v="6"/>
    </i>
    <i>
      <x v="7"/>
      <x/>
      <x/>
    </i>
    <i r="1">
      <x v="1"/>
      <x/>
    </i>
    <i r="1">
      <x v="2"/>
      <x v="2"/>
    </i>
    <i r="1">
      <x v="3"/>
      <x v="2"/>
    </i>
    <i t="blank">
      <x v="7"/>
    </i>
    <i>
      <x v="8"/>
      <x/>
      <x v="1"/>
    </i>
    <i r="1">
      <x v="1"/>
      <x/>
    </i>
    <i r="1">
      <x v="2"/>
      <x v="2"/>
    </i>
    <i t="blank">
      <x v="8"/>
    </i>
    <i>
      <x v="9"/>
      <x/>
      <x/>
    </i>
    <i r="1">
      <x v="1"/>
      <x/>
    </i>
    <i r="1">
      <x v="2"/>
      <x v="1"/>
    </i>
    <i r="1">
      <x v="3"/>
      <x v="2"/>
    </i>
    <i t="blank">
      <x v="9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workbookViewId="0">
      <selection activeCell="A6" sqref="A6"/>
    </sheetView>
  </sheetViews>
  <sheetFormatPr defaultRowHeight="15"/>
  <cols>
    <col min="1" max="1" width="36.5703125" bestFit="1" customWidth="1"/>
    <col min="8" max="8" width="36.5703125" bestFit="1" customWidth="1"/>
    <col min="9" max="9" width="23" bestFit="1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5">
        <v>45669</v>
      </c>
      <c r="B2" t="s">
        <v>9</v>
      </c>
      <c r="C2" t="s">
        <v>10</v>
      </c>
      <c r="D2" t="s">
        <v>11</v>
      </c>
      <c r="E2">
        <v>16000</v>
      </c>
      <c r="F2">
        <v>17000</v>
      </c>
      <c r="G2">
        <f>E2-F2</f>
        <v>-1000</v>
      </c>
      <c r="H2" s="1" t="str">
        <f>IF(G2&gt;0,"Profit",IF(G2=0,"Break-even","Loss"))</f>
        <v>Loss</v>
      </c>
      <c r="I2" t="str">
        <f>IF(H2="Profit","Continue",IF(H2="Break-even","Review","Stop"))</f>
        <v>Stop</v>
      </c>
    </row>
    <row r="3" spans="1:9">
      <c r="A3" s="5">
        <v>45686</v>
      </c>
      <c r="B3" t="s">
        <v>12</v>
      </c>
      <c r="C3" t="s">
        <v>10</v>
      </c>
      <c r="D3" t="s">
        <v>13</v>
      </c>
      <c r="E3">
        <v>3000</v>
      </c>
      <c r="F3">
        <v>3500</v>
      </c>
      <c r="G3">
        <f>E3-F3</f>
        <v>-500</v>
      </c>
      <c r="H3" s="1" t="str">
        <f>IF(G3&gt;0,"Profit",IF(G3=0,"Break-even","Loss"))</f>
        <v>Loss</v>
      </c>
      <c r="I3" t="str">
        <f t="shared" ref="I3:I29" si="0">IF(H3="Profit","Continue",IF(H3="Break-even","Review","Stop"))</f>
        <v>Stop</v>
      </c>
    </row>
    <row r="4" spans="1:9">
      <c r="A4" s="5">
        <v>45674</v>
      </c>
      <c r="B4" t="s">
        <v>12</v>
      </c>
      <c r="C4" t="s">
        <v>10</v>
      </c>
      <c r="D4" t="s">
        <v>14</v>
      </c>
      <c r="E4">
        <v>11000</v>
      </c>
      <c r="F4">
        <v>11500</v>
      </c>
      <c r="G4">
        <f>E4-F4</f>
        <v>-500</v>
      </c>
      <c r="H4" s="1" t="str">
        <f>IF(G4&gt;0,"Profit",IF(G4=0,"Break-even","Loss"))</f>
        <v>Loss</v>
      </c>
      <c r="I4" t="str">
        <f t="shared" si="0"/>
        <v>Stop</v>
      </c>
    </row>
    <row r="5" spans="1:9">
      <c r="A5" s="5">
        <v>45670</v>
      </c>
      <c r="B5" t="s">
        <v>12</v>
      </c>
      <c r="C5" t="s">
        <v>10</v>
      </c>
      <c r="D5" t="s">
        <v>11</v>
      </c>
      <c r="E5">
        <v>15000</v>
      </c>
      <c r="F5">
        <v>15500</v>
      </c>
      <c r="G5">
        <f>E5-F5</f>
        <v>-500</v>
      </c>
      <c r="H5" s="1" t="str">
        <f>IF(G5&gt;0,"Profit",IF(G5=0,"Break-even","Loss"))</f>
        <v>Loss</v>
      </c>
      <c r="I5" t="str">
        <f t="shared" si="0"/>
        <v>Stop</v>
      </c>
    </row>
    <row r="6" spans="1:9">
      <c r="A6" s="5">
        <v>45680</v>
      </c>
      <c r="B6" t="s">
        <v>9</v>
      </c>
      <c r="C6" t="s">
        <v>15</v>
      </c>
      <c r="D6" t="s">
        <v>16</v>
      </c>
      <c r="E6">
        <v>1800</v>
      </c>
      <c r="F6">
        <v>2200</v>
      </c>
      <c r="G6">
        <f>E6-F6</f>
        <v>-400</v>
      </c>
      <c r="H6" s="1" t="str">
        <f>IF(G6&gt;0,"Profit",IF(G6=0,"Break-even","Loss"))</f>
        <v>Loss</v>
      </c>
      <c r="I6" t="str">
        <f t="shared" si="0"/>
        <v>Stop</v>
      </c>
    </row>
    <row r="7" spans="1:9">
      <c r="A7" s="2">
        <v>45668</v>
      </c>
      <c r="B7" t="s">
        <v>9</v>
      </c>
      <c r="C7" t="s">
        <v>15</v>
      </c>
      <c r="D7" t="s">
        <v>17</v>
      </c>
      <c r="E7">
        <v>1000</v>
      </c>
      <c r="F7">
        <v>1200</v>
      </c>
      <c r="G7">
        <f>E7-F7</f>
        <v>-200</v>
      </c>
      <c r="H7" s="1" t="str">
        <f>IF(G7&gt;0,"Profit",IF(G7=0,"Break-even","Loss"))</f>
        <v>Loss</v>
      </c>
      <c r="I7" t="str">
        <f t="shared" si="0"/>
        <v>Stop</v>
      </c>
    </row>
    <row r="8" spans="1:9">
      <c r="A8" s="5">
        <v>45682</v>
      </c>
      <c r="B8" t="s">
        <v>12</v>
      </c>
      <c r="C8" t="s">
        <v>15</v>
      </c>
      <c r="D8" t="s">
        <v>16</v>
      </c>
      <c r="E8">
        <v>2000</v>
      </c>
      <c r="F8">
        <v>2000</v>
      </c>
      <c r="G8">
        <f>E8-F8</f>
        <v>0</v>
      </c>
      <c r="H8" s="1" t="str">
        <f>IF(G8&gt;0,"Profit",IF(G8=0,"Break-even","Loss"))</f>
        <v>Break-even</v>
      </c>
      <c r="I8" t="str">
        <f t="shared" si="0"/>
        <v>Review</v>
      </c>
    </row>
    <row r="9" spans="1:9">
      <c r="A9" s="5">
        <v>45685</v>
      </c>
      <c r="B9" t="s">
        <v>18</v>
      </c>
      <c r="C9" t="s">
        <v>15</v>
      </c>
      <c r="D9" t="s">
        <v>17</v>
      </c>
      <c r="E9">
        <v>2000</v>
      </c>
      <c r="F9">
        <v>2000</v>
      </c>
      <c r="G9">
        <f>E9-F9</f>
        <v>0</v>
      </c>
      <c r="H9" s="1" t="str">
        <f>IF(G9&gt;0,"Profit",IF(G9=0,"Break-even","Loss"))</f>
        <v>Break-even</v>
      </c>
      <c r="I9" t="str">
        <f t="shared" si="0"/>
        <v>Review</v>
      </c>
    </row>
    <row r="10" spans="1:9">
      <c r="A10" s="5">
        <v>45673</v>
      </c>
      <c r="B10" t="s">
        <v>9</v>
      </c>
      <c r="C10" t="s">
        <v>10</v>
      </c>
      <c r="D10" t="s">
        <v>14</v>
      </c>
      <c r="E10">
        <v>13000</v>
      </c>
      <c r="F10">
        <v>13000</v>
      </c>
      <c r="G10">
        <f>E10-F10</f>
        <v>0</v>
      </c>
      <c r="H10" s="1" t="str">
        <f>IF(G10&gt;0,"Profit",IF(G10=0,"Break-even","Loss"))</f>
        <v>Break-even</v>
      </c>
      <c r="I10" t="str">
        <f t="shared" si="0"/>
        <v>Review</v>
      </c>
    </row>
    <row r="11" spans="1:9">
      <c r="A11" s="2">
        <v>45671</v>
      </c>
      <c r="B11" t="s">
        <v>18</v>
      </c>
      <c r="C11" t="s">
        <v>15</v>
      </c>
      <c r="D11" t="s">
        <v>19</v>
      </c>
      <c r="E11">
        <v>2500</v>
      </c>
      <c r="F11">
        <v>2300</v>
      </c>
      <c r="G11">
        <f>E11-F11</f>
        <v>200</v>
      </c>
      <c r="H11" s="1" t="str">
        <f>IF(G11&gt;0,"Profit",IF(G11=0,"Break-even","Loss"))</f>
        <v>Profit</v>
      </c>
      <c r="I11" t="str">
        <f t="shared" si="0"/>
        <v>Continue</v>
      </c>
    </row>
    <row r="12" spans="1:9">
      <c r="A12" s="5">
        <v>45681</v>
      </c>
      <c r="B12" t="s">
        <v>18</v>
      </c>
      <c r="C12" t="s">
        <v>15</v>
      </c>
      <c r="D12" t="s">
        <v>16</v>
      </c>
      <c r="E12">
        <v>2800</v>
      </c>
      <c r="F12">
        <v>2600</v>
      </c>
      <c r="G12">
        <f>E12-F12</f>
        <v>200</v>
      </c>
      <c r="H12" s="1" t="str">
        <f>IF(G12&gt;0,"Profit",IF(G12=0,"Break-even","Loss"))</f>
        <v>Profit</v>
      </c>
      <c r="I12" t="str">
        <f t="shared" si="0"/>
        <v>Continue</v>
      </c>
    </row>
    <row r="13" spans="1:9">
      <c r="A13" s="5">
        <v>45679</v>
      </c>
      <c r="B13" t="s">
        <v>20</v>
      </c>
      <c r="C13" t="s">
        <v>15</v>
      </c>
      <c r="D13" t="s">
        <v>16</v>
      </c>
      <c r="E13">
        <v>3500</v>
      </c>
      <c r="F13">
        <v>3000</v>
      </c>
      <c r="G13">
        <f>E13-F13</f>
        <v>500</v>
      </c>
      <c r="H13" s="1" t="str">
        <f>IF(G13&gt;0,"Profit",IF(G13=0,"Break-even","Loss"))</f>
        <v>Profit</v>
      </c>
      <c r="I13" t="str">
        <f t="shared" si="0"/>
        <v>Continue</v>
      </c>
    </row>
    <row r="14" spans="1:9">
      <c r="A14" s="2">
        <v>45669</v>
      </c>
      <c r="B14" t="s">
        <v>20</v>
      </c>
      <c r="C14" t="s">
        <v>10</v>
      </c>
      <c r="D14" t="s">
        <v>21</v>
      </c>
      <c r="E14">
        <v>6000</v>
      </c>
      <c r="F14">
        <v>5500</v>
      </c>
      <c r="G14">
        <f>E14-F14</f>
        <v>500</v>
      </c>
      <c r="H14" s="1" t="str">
        <f>IF(G14&gt;0,"Profit",IF(G14=0,"Break-even","Loss"))</f>
        <v>Profit</v>
      </c>
      <c r="I14" t="str">
        <f t="shared" si="0"/>
        <v>Continue</v>
      </c>
    </row>
    <row r="15" spans="1:9">
      <c r="A15" s="5">
        <v>45672</v>
      </c>
      <c r="B15" t="s">
        <v>20</v>
      </c>
      <c r="C15" t="s">
        <v>10</v>
      </c>
      <c r="D15" t="s">
        <v>14</v>
      </c>
      <c r="E15">
        <v>14000</v>
      </c>
      <c r="F15">
        <v>13500</v>
      </c>
      <c r="G15">
        <f>E15-F15</f>
        <v>500</v>
      </c>
      <c r="H15" s="1" t="str">
        <f>IF(G15&gt;0,"Profit",IF(G15=0,"Break-even","Loss"))</f>
        <v>Profit</v>
      </c>
      <c r="I15" t="str">
        <f t="shared" si="0"/>
        <v>Continue</v>
      </c>
    </row>
    <row r="16" spans="1:9">
      <c r="A16" s="2">
        <v>45297</v>
      </c>
      <c r="B16" t="s">
        <v>20</v>
      </c>
      <c r="C16" t="s">
        <v>15</v>
      </c>
      <c r="D16" t="s">
        <v>19</v>
      </c>
      <c r="E16">
        <v>3000</v>
      </c>
      <c r="F16">
        <v>2000</v>
      </c>
      <c r="G16">
        <f>E16-F16</f>
        <v>1000</v>
      </c>
      <c r="H16" s="1" t="str">
        <f>IF(G16&gt;0,"Profit",IF(G16=0,"Break-even","Loss"))</f>
        <v>Profit</v>
      </c>
      <c r="I16" t="str">
        <f t="shared" si="0"/>
        <v>Continue</v>
      </c>
    </row>
    <row r="17" spans="1:9">
      <c r="A17" s="2">
        <v>45670</v>
      </c>
      <c r="B17" t="s">
        <v>12</v>
      </c>
      <c r="C17" t="s">
        <v>22</v>
      </c>
      <c r="D17" t="s">
        <v>23</v>
      </c>
      <c r="E17">
        <v>9000</v>
      </c>
      <c r="F17">
        <v>8000</v>
      </c>
      <c r="G17">
        <f>E17-F17</f>
        <v>1000</v>
      </c>
      <c r="H17" s="1" t="str">
        <f>IF(G17&gt;0,"Profit",IF(G17=0,"Break-even","Loss"))</f>
        <v>Profit</v>
      </c>
      <c r="I17" t="str">
        <f t="shared" si="0"/>
        <v>Continue</v>
      </c>
    </row>
    <row r="18" spans="1:9">
      <c r="A18" s="5">
        <v>45671</v>
      </c>
      <c r="B18" t="s">
        <v>18</v>
      </c>
      <c r="C18" t="s">
        <v>10</v>
      </c>
      <c r="D18" t="s">
        <v>14</v>
      </c>
      <c r="E18">
        <v>12000</v>
      </c>
      <c r="F18">
        <v>11000</v>
      </c>
      <c r="G18">
        <f>E18-F18</f>
        <v>1000</v>
      </c>
      <c r="H18" s="1" t="str">
        <f>IF(G18&gt;0,"Profit",IF(G18=0,"Break-even","Loss"))</f>
        <v>Profit</v>
      </c>
      <c r="I18" t="str">
        <f t="shared" si="0"/>
        <v>Continue</v>
      </c>
    </row>
    <row r="19" spans="1:9">
      <c r="A19" s="2">
        <v>45667</v>
      </c>
      <c r="B19" t="s">
        <v>18</v>
      </c>
      <c r="C19" t="s">
        <v>10</v>
      </c>
      <c r="D19" t="s">
        <v>11</v>
      </c>
      <c r="E19">
        <v>18000</v>
      </c>
      <c r="F19">
        <v>17000</v>
      </c>
      <c r="G19">
        <f>E19-F19</f>
        <v>1000</v>
      </c>
      <c r="H19" s="1" t="str">
        <f>IF(G19&gt;0,"Profit",IF(G19=0,"Break-even","Loss"))</f>
        <v>Profit</v>
      </c>
      <c r="I19" t="str">
        <f t="shared" si="0"/>
        <v>Continue</v>
      </c>
    </row>
    <row r="20" spans="1:9">
      <c r="A20" s="5">
        <v>45677</v>
      </c>
      <c r="B20" t="s">
        <v>18</v>
      </c>
      <c r="C20" t="s">
        <v>22</v>
      </c>
      <c r="D20" t="s">
        <v>24</v>
      </c>
      <c r="E20">
        <v>3800</v>
      </c>
      <c r="F20">
        <v>2400</v>
      </c>
      <c r="G20">
        <f>E20-F20</f>
        <v>1400</v>
      </c>
      <c r="H20" s="1" t="str">
        <f>IF(G20&gt;0,"Profit",IF(G20=0,"Break-even","Loss"))</f>
        <v>Profit</v>
      </c>
      <c r="I20" t="str">
        <f t="shared" si="0"/>
        <v>Continue</v>
      </c>
    </row>
    <row r="21" spans="1:9">
      <c r="A21" s="5">
        <v>45678</v>
      </c>
      <c r="B21" t="s">
        <v>12</v>
      </c>
      <c r="C21" t="s">
        <v>22</v>
      </c>
      <c r="D21" t="s">
        <v>24</v>
      </c>
      <c r="E21">
        <v>4200</v>
      </c>
      <c r="F21">
        <v>2800</v>
      </c>
      <c r="G21">
        <f>E21-F21</f>
        <v>1400</v>
      </c>
      <c r="H21" s="1" t="str">
        <f>IF(G21&gt;0,"Profit",IF(G21=0,"Break-even","Loss"))</f>
        <v>Profit</v>
      </c>
      <c r="I21" t="str">
        <f t="shared" si="0"/>
        <v>Continue</v>
      </c>
    </row>
    <row r="22" spans="1:9">
      <c r="A22" s="5">
        <v>45675</v>
      </c>
      <c r="B22" t="s">
        <v>20</v>
      </c>
      <c r="C22" t="s">
        <v>22</v>
      </c>
      <c r="D22" t="s">
        <v>24</v>
      </c>
      <c r="E22">
        <v>4000</v>
      </c>
      <c r="F22">
        <v>2500</v>
      </c>
      <c r="G22">
        <f>E22-F22</f>
        <v>1500</v>
      </c>
      <c r="H22" s="1" t="str">
        <f>IF(G22&gt;0,"Profit",IF(G22=0,"Break-even","Loss"))</f>
        <v>Profit</v>
      </c>
      <c r="I22" t="str">
        <f t="shared" si="0"/>
        <v>Continue</v>
      </c>
    </row>
    <row r="23" spans="1:9">
      <c r="A23" s="2">
        <v>45662</v>
      </c>
      <c r="B23" t="s">
        <v>20</v>
      </c>
      <c r="C23" t="s">
        <v>15</v>
      </c>
      <c r="D23" t="s">
        <v>17</v>
      </c>
      <c r="E23">
        <v>5000</v>
      </c>
      <c r="F23">
        <v>3500</v>
      </c>
      <c r="G23">
        <f>E23-F23</f>
        <v>1500</v>
      </c>
      <c r="H23" s="1" t="str">
        <f>IF(G23&gt;0,"Profit",IF(G23=0,"Break-even","Loss"))</f>
        <v>Profit</v>
      </c>
      <c r="I23" t="str">
        <f t="shared" si="0"/>
        <v>Continue</v>
      </c>
    </row>
    <row r="24" spans="1:9">
      <c r="A24" s="2">
        <v>45664</v>
      </c>
      <c r="B24" t="s">
        <v>9</v>
      </c>
      <c r="C24" t="s">
        <v>10</v>
      </c>
      <c r="D24" t="s">
        <v>21</v>
      </c>
      <c r="E24">
        <v>8000</v>
      </c>
      <c r="F24">
        <v>6500</v>
      </c>
      <c r="G24">
        <f>E24-F24</f>
        <v>1500</v>
      </c>
      <c r="H24" s="1" t="str">
        <f>IF(G24&gt;0,"Profit",IF(G24=0,"Break-even","Loss"))</f>
        <v>Profit</v>
      </c>
      <c r="I24" t="str">
        <f t="shared" si="0"/>
        <v>Continue</v>
      </c>
    </row>
    <row r="25" spans="1:9">
      <c r="A25" s="2">
        <v>45665</v>
      </c>
      <c r="B25" t="s">
        <v>9</v>
      </c>
      <c r="C25" t="s">
        <v>22</v>
      </c>
      <c r="D25" t="s">
        <v>23</v>
      </c>
      <c r="E25">
        <v>12000</v>
      </c>
      <c r="F25">
        <v>10500</v>
      </c>
      <c r="G25">
        <f>E25-F25</f>
        <v>1500</v>
      </c>
      <c r="H25" s="1" t="str">
        <f>IF(G25&gt;0,"Profit",IF(G25=0,"Break-even","Loss"))</f>
        <v>Profit</v>
      </c>
      <c r="I25" t="str">
        <f t="shared" si="0"/>
        <v>Continue</v>
      </c>
    </row>
    <row r="26" spans="1:9">
      <c r="A26" s="5">
        <v>45684</v>
      </c>
      <c r="B26" t="s">
        <v>20</v>
      </c>
      <c r="C26" t="s">
        <v>22</v>
      </c>
      <c r="D26" t="s">
        <v>25</v>
      </c>
      <c r="E26">
        <v>19000</v>
      </c>
      <c r="F26">
        <v>17500</v>
      </c>
      <c r="G26">
        <f>E26-F26</f>
        <v>1500</v>
      </c>
      <c r="H26" s="1" t="str">
        <f>IF(G26&gt;0,"Profit",IF(G26=0,"Break-even","Loss"))</f>
        <v>Profit</v>
      </c>
      <c r="I26" t="str">
        <f t="shared" si="0"/>
        <v>Continue</v>
      </c>
    </row>
    <row r="27" spans="1:9">
      <c r="A27" s="5">
        <v>45668</v>
      </c>
      <c r="B27" t="s">
        <v>20</v>
      </c>
      <c r="C27" t="s">
        <v>10</v>
      </c>
      <c r="D27" t="s">
        <v>11</v>
      </c>
      <c r="E27">
        <v>20000</v>
      </c>
      <c r="F27">
        <v>18500</v>
      </c>
      <c r="G27">
        <f>E27-F27</f>
        <v>1500</v>
      </c>
      <c r="H27" s="1" t="str">
        <f>IF(G27&gt;0,"Profit",IF(G27=0,"Break-even","Loss"))</f>
        <v>Profit</v>
      </c>
      <c r="I27" t="str">
        <f t="shared" si="0"/>
        <v>Continue</v>
      </c>
    </row>
    <row r="28" spans="1:9">
      <c r="A28" s="5">
        <v>45676</v>
      </c>
      <c r="B28" t="s">
        <v>9</v>
      </c>
      <c r="C28" t="s">
        <v>22</v>
      </c>
      <c r="D28" t="s">
        <v>24</v>
      </c>
      <c r="E28">
        <v>4500</v>
      </c>
      <c r="F28">
        <v>2600</v>
      </c>
      <c r="G28">
        <f>E28-F28</f>
        <v>1900</v>
      </c>
      <c r="H28" s="1" t="str">
        <f>IF(G28&gt;0,"Profit",IF(G28=0,"Break-even","Loss"))</f>
        <v>Profit</v>
      </c>
      <c r="I28" t="str">
        <f t="shared" si="0"/>
        <v>Continue</v>
      </c>
    </row>
    <row r="29" spans="1:9">
      <c r="A29" s="2">
        <v>45666</v>
      </c>
      <c r="B29" t="s">
        <v>18</v>
      </c>
      <c r="C29" t="s">
        <v>22</v>
      </c>
      <c r="D29" t="s">
        <v>25</v>
      </c>
      <c r="E29">
        <v>15000</v>
      </c>
      <c r="F29">
        <v>13000</v>
      </c>
      <c r="G29">
        <f>E29-F29</f>
        <v>2000</v>
      </c>
      <c r="H29" s="1" t="str">
        <f>IF(G29&gt;0,"Profit",IF(G29=0,"Break-even","Loss"))</f>
        <v>Profit</v>
      </c>
      <c r="I29" t="str">
        <f t="shared" si="0"/>
        <v>Continue</v>
      </c>
    </row>
    <row r="30" spans="1:9">
      <c r="A30" s="5"/>
      <c r="H30" s="1"/>
    </row>
    <row r="31" spans="1:9">
      <c r="A31" s="2"/>
      <c r="H31" s="1"/>
    </row>
  </sheetData>
  <sortState xmlns:xlrd2="http://schemas.microsoft.com/office/spreadsheetml/2017/richdata2" ref="A2:H31">
    <sortCondition ref="G2:G3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06C5C-C11B-419B-97CA-5C49D9C8B119}">
  <dimension ref="A3:E9"/>
  <sheetViews>
    <sheetView workbookViewId="0">
      <selection activeCell="G11" sqref="G11"/>
    </sheetView>
  </sheetViews>
  <sheetFormatPr defaultRowHeight="15"/>
  <cols>
    <col min="1" max="1" width="17" bestFit="1" customWidth="1"/>
    <col min="2" max="2" width="16.140625" bestFit="1" customWidth="1"/>
    <col min="3" max="3" width="4.5703125" bestFit="1" customWidth="1"/>
    <col min="4" max="4" width="5.85546875" bestFit="1" customWidth="1"/>
    <col min="5" max="5" width="11.42578125" bestFit="1" customWidth="1"/>
  </cols>
  <sheetData>
    <row r="3" spans="1:5">
      <c r="A3" s="3" t="s">
        <v>26</v>
      </c>
      <c r="B3" s="3" t="s">
        <v>7</v>
      </c>
    </row>
    <row r="4" spans="1:5">
      <c r="A4" s="3" t="s">
        <v>1</v>
      </c>
      <c r="B4" t="s">
        <v>27</v>
      </c>
      <c r="C4" t="s">
        <v>28</v>
      </c>
      <c r="D4" t="s">
        <v>6</v>
      </c>
      <c r="E4" t="s">
        <v>29</v>
      </c>
    </row>
    <row r="5" spans="1:5">
      <c r="A5" t="s">
        <v>18</v>
      </c>
      <c r="B5" s="4">
        <v>1</v>
      </c>
      <c r="C5" s="4"/>
      <c r="D5" s="4">
        <v>6</v>
      </c>
      <c r="E5" s="4">
        <v>7</v>
      </c>
    </row>
    <row r="6" spans="1:5">
      <c r="A6" t="s">
        <v>20</v>
      </c>
      <c r="B6" s="4"/>
      <c r="C6" s="4"/>
      <c r="D6" s="4">
        <v>8</v>
      </c>
      <c r="E6" s="4">
        <v>8</v>
      </c>
    </row>
    <row r="7" spans="1:5">
      <c r="A7" t="s">
        <v>9</v>
      </c>
      <c r="B7" s="4">
        <v>1</v>
      </c>
      <c r="C7" s="4">
        <v>3</v>
      </c>
      <c r="D7" s="4">
        <v>3</v>
      </c>
      <c r="E7" s="4">
        <v>7</v>
      </c>
    </row>
    <row r="8" spans="1:5">
      <c r="A8" t="s">
        <v>12</v>
      </c>
      <c r="B8" s="4">
        <v>1</v>
      </c>
      <c r="C8" s="4">
        <v>3</v>
      </c>
      <c r="D8" s="4">
        <v>2</v>
      </c>
      <c r="E8" s="4">
        <v>6</v>
      </c>
    </row>
    <row r="9" spans="1:5">
      <c r="A9" t="s">
        <v>29</v>
      </c>
      <c r="B9" s="4">
        <v>3</v>
      </c>
      <c r="C9" s="4">
        <v>6</v>
      </c>
      <c r="D9" s="4">
        <v>19</v>
      </c>
      <c r="E9" s="4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375F8-121C-444E-919A-A00932624158}">
  <dimension ref="A3:E15"/>
  <sheetViews>
    <sheetView workbookViewId="0">
      <selection activeCell="F10" sqref="F10"/>
    </sheetView>
  </sheetViews>
  <sheetFormatPr defaultRowHeight="15"/>
  <cols>
    <col min="1" max="1" width="17.42578125" bestFit="1" customWidth="1"/>
    <col min="2" max="2" width="16.140625" bestFit="1" customWidth="1"/>
    <col min="3" max="3" width="4.5703125" bestFit="1" customWidth="1"/>
    <col min="4" max="4" width="5.85546875" bestFit="1" customWidth="1"/>
    <col min="5" max="5" width="11.42578125" bestFit="1" customWidth="1"/>
  </cols>
  <sheetData>
    <row r="3" spans="1:5">
      <c r="A3" s="3" t="s">
        <v>26</v>
      </c>
      <c r="B3" s="3" t="s">
        <v>7</v>
      </c>
    </row>
    <row r="4" spans="1:5">
      <c r="A4" s="3" t="s">
        <v>3</v>
      </c>
      <c r="B4" t="s">
        <v>27</v>
      </c>
      <c r="C4" t="s">
        <v>28</v>
      </c>
      <c r="D4" t="s">
        <v>6</v>
      </c>
      <c r="E4" t="s">
        <v>29</v>
      </c>
    </row>
    <row r="5" spans="1:5">
      <c r="A5" t="s">
        <v>21</v>
      </c>
      <c r="B5" s="4"/>
      <c r="C5" s="4"/>
      <c r="D5" s="4">
        <v>2</v>
      </c>
      <c r="E5" s="4">
        <v>2</v>
      </c>
    </row>
    <row r="6" spans="1:5">
      <c r="A6" t="s">
        <v>13</v>
      </c>
      <c r="B6" s="4"/>
      <c r="C6" s="4">
        <v>1</v>
      </c>
      <c r="D6" s="4"/>
      <c r="E6" s="4">
        <v>1</v>
      </c>
    </row>
    <row r="7" spans="1:5">
      <c r="A7" t="s">
        <v>19</v>
      </c>
      <c r="B7" s="4"/>
      <c r="C7" s="4"/>
      <c r="D7" s="4">
        <v>2</v>
      </c>
      <c r="E7" s="4">
        <v>2</v>
      </c>
    </row>
    <row r="8" spans="1:5">
      <c r="A8" t="s">
        <v>25</v>
      </c>
      <c r="B8" s="4"/>
      <c r="C8" s="4"/>
      <c r="D8" s="4">
        <v>2</v>
      </c>
      <c r="E8" s="4">
        <v>2</v>
      </c>
    </row>
    <row r="9" spans="1:5">
      <c r="A9" t="s">
        <v>23</v>
      </c>
      <c r="B9" s="4"/>
      <c r="C9" s="4"/>
      <c r="D9" s="4">
        <v>2</v>
      </c>
      <c r="E9" s="4">
        <v>2</v>
      </c>
    </row>
    <row r="10" spans="1:5">
      <c r="A10" t="s">
        <v>24</v>
      </c>
      <c r="B10" s="4"/>
      <c r="C10" s="4"/>
      <c r="D10" s="4">
        <v>4</v>
      </c>
      <c r="E10" s="4">
        <v>4</v>
      </c>
    </row>
    <row r="11" spans="1:5">
      <c r="A11" t="s">
        <v>16</v>
      </c>
      <c r="B11" s="4">
        <v>1</v>
      </c>
      <c r="C11" s="4">
        <v>1</v>
      </c>
      <c r="D11" s="4">
        <v>2</v>
      </c>
      <c r="E11" s="4">
        <v>4</v>
      </c>
    </row>
    <row r="12" spans="1:5">
      <c r="A12" t="s">
        <v>11</v>
      </c>
      <c r="B12" s="4"/>
      <c r="C12" s="4">
        <v>2</v>
      </c>
      <c r="D12" s="4">
        <v>2</v>
      </c>
      <c r="E12" s="4">
        <v>4</v>
      </c>
    </row>
    <row r="13" spans="1:5">
      <c r="A13" t="s">
        <v>17</v>
      </c>
      <c r="B13" s="4">
        <v>1</v>
      </c>
      <c r="C13" s="4">
        <v>1</v>
      </c>
      <c r="D13" s="4">
        <v>1</v>
      </c>
      <c r="E13" s="4">
        <v>3</v>
      </c>
    </row>
    <row r="14" spans="1:5">
      <c r="A14" t="s">
        <v>14</v>
      </c>
      <c r="B14" s="4">
        <v>1</v>
      </c>
      <c r="C14" s="4">
        <v>1</v>
      </c>
      <c r="D14" s="4">
        <v>2</v>
      </c>
      <c r="E14" s="4">
        <v>4</v>
      </c>
    </row>
    <row r="15" spans="1:5">
      <c r="A15" t="s">
        <v>29</v>
      </c>
      <c r="B15" s="4">
        <v>3</v>
      </c>
      <c r="C15" s="4">
        <v>6</v>
      </c>
      <c r="D15" s="4">
        <v>19</v>
      </c>
      <c r="E15" s="4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9105-1E6D-4811-9052-D88009F3E1CF}">
  <dimension ref="A3:F37"/>
  <sheetViews>
    <sheetView workbookViewId="0">
      <selection activeCell="J13" sqref="J13"/>
    </sheetView>
  </sheetViews>
  <sheetFormatPr defaultRowHeight="15"/>
  <cols>
    <col min="1" max="1" width="11.42578125" bestFit="1" customWidth="1"/>
    <col min="2" max="2" width="17.42578125" bestFit="1" customWidth="1"/>
    <col min="3" max="3" width="16.140625" bestFit="1" customWidth="1"/>
    <col min="4" max="4" width="4.5703125" bestFit="1" customWidth="1"/>
    <col min="5" max="5" width="5.85546875" bestFit="1" customWidth="1"/>
    <col min="6" max="6" width="11.42578125" bestFit="1" customWidth="1"/>
  </cols>
  <sheetData>
    <row r="3" spans="1:6">
      <c r="A3" t="s">
        <v>30</v>
      </c>
      <c r="C3" t="s">
        <v>7</v>
      </c>
    </row>
    <row r="4" spans="1:6">
      <c r="A4" t="s">
        <v>1</v>
      </c>
      <c r="B4" t="s">
        <v>3</v>
      </c>
      <c r="C4" t="s">
        <v>27</v>
      </c>
      <c r="D4" t="s">
        <v>28</v>
      </c>
      <c r="E4" t="s">
        <v>6</v>
      </c>
      <c r="F4" t="s">
        <v>29</v>
      </c>
    </row>
    <row r="5" spans="1:6">
      <c r="A5" t="s">
        <v>18</v>
      </c>
      <c r="B5" t="s">
        <v>19</v>
      </c>
      <c r="E5">
        <v>1</v>
      </c>
      <c r="F5" s="4">
        <v>1</v>
      </c>
    </row>
    <row r="6" spans="1:6">
      <c r="B6" t="s">
        <v>25</v>
      </c>
      <c r="E6">
        <v>1</v>
      </c>
      <c r="F6" s="4">
        <v>1</v>
      </c>
    </row>
    <row r="7" spans="1:6">
      <c r="B7" t="s">
        <v>24</v>
      </c>
      <c r="E7">
        <v>1</v>
      </c>
      <c r="F7" s="4">
        <v>1</v>
      </c>
    </row>
    <row r="8" spans="1:6">
      <c r="B8" t="s">
        <v>16</v>
      </c>
      <c r="E8">
        <v>1</v>
      </c>
      <c r="F8" s="4">
        <v>1</v>
      </c>
    </row>
    <row r="9" spans="1:6">
      <c r="B9" t="s">
        <v>11</v>
      </c>
      <c r="E9">
        <v>1</v>
      </c>
      <c r="F9" s="4">
        <v>1</v>
      </c>
    </row>
    <row r="10" spans="1:6">
      <c r="B10" t="s">
        <v>17</v>
      </c>
      <c r="C10">
        <v>1</v>
      </c>
      <c r="F10" s="4">
        <v>1</v>
      </c>
    </row>
    <row r="11" spans="1:6">
      <c r="B11" t="s">
        <v>14</v>
      </c>
      <c r="E11">
        <v>1</v>
      </c>
      <c r="F11" s="4">
        <v>1</v>
      </c>
    </row>
    <row r="12" spans="1:6">
      <c r="A12" t="s">
        <v>31</v>
      </c>
      <c r="C12">
        <v>1</v>
      </c>
      <c r="E12">
        <v>6</v>
      </c>
      <c r="F12" s="4">
        <v>7</v>
      </c>
    </row>
    <row r="13" spans="1:6">
      <c r="A13" t="s">
        <v>20</v>
      </c>
      <c r="B13" t="s">
        <v>21</v>
      </c>
      <c r="E13">
        <v>1</v>
      </c>
      <c r="F13" s="4">
        <v>1</v>
      </c>
    </row>
    <row r="14" spans="1:6">
      <c r="B14" t="s">
        <v>19</v>
      </c>
      <c r="E14">
        <v>1</v>
      </c>
      <c r="F14" s="4">
        <v>1</v>
      </c>
    </row>
    <row r="15" spans="1:6">
      <c r="B15" t="s">
        <v>25</v>
      </c>
      <c r="E15">
        <v>1</v>
      </c>
      <c r="F15" s="4">
        <v>1</v>
      </c>
    </row>
    <row r="16" spans="1:6">
      <c r="B16" t="s">
        <v>24</v>
      </c>
      <c r="E16">
        <v>1</v>
      </c>
      <c r="F16" s="4">
        <v>1</v>
      </c>
    </row>
    <row r="17" spans="1:6">
      <c r="B17" t="s">
        <v>16</v>
      </c>
      <c r="E17">
        <v>1</v>
      </c>
      <c r="F17" s="4">
        <v>1</v>
      </c>
    </row>
    <row r="18" spans="1:6">
      <c r="B18" t="s">
        <v>11</v>
      </c>
      <c r="E18">
        <v>1</v>
      </c>
      <c r="F18" s="4">
        <v>1</v>
      </c>
    </row>
    <row r="19" spans="1:6">
      <c r="B19" t="s">
        <v>17</v>
      </c>
      <c r="E19">
        <v>1</v>
      </c>
      <c r="F19" s="4">
        <v>1</v>
      </c>
    </row>
    <row r="20" spans="1:6">
      <c r="B20" t="s">
        <v>14</v>
      </c>
      <c r="E20">
        <v>1</v>
      </c>
      <c r="F20" s="4">
        <v>1</v>
      </c>
    </row>
    <row r="21" spans="1:6">
      <c r="A21" t="s">
        <v>32</v>
      </c>
      <c r="E21">
        <v>8</v>
      </c>
      <c r="F21" s="4">
        <v>8</v>
      </c>
    </row>
    <row r="22" spans="1:6">
      <c r="A22" t="s">
        <v>9</v>
      </c>
      <c r="B22" t="s">
        <v>21</v>
      </c>
      <c r="E22">
        <v>1</v>
      </c>
      <c r="F22" s="4">
        <v>1</v>
      </c>
    </row>
    <row r="23" spans="1:6">
      <c r="B23" t="s">
        <v>23</v>
      </c>
      <c r="E23">
        <v>1</v>
      </c>
      <c r="F23" s="4">
        <v>1</v>
      </c>
    </row>
    <row r="24" spans="1:6">
      <c r="B24" t="s">
        <v>24</v>
      </c>
      <c r="E24">
        <v>1</v>
      </c>
      <c r="F24" s="4">
        <v>1</v>
      </c>
    </row>
    <row r="25" spans="1:6">
      <c r="B25" t="s">
        <v>16</v>
      </c>
      <c r="D25">
        <v>1</v>
      </c>
      <c r="F25" s="4">
        <v>1</v>
      </c>
    </row>
    <row r="26" spans="1:6">
      <c r="B26" t="s">
        <v>11</v>
      </c>
      <c r="D26">
        <v>1</v>
      </c>
      <c r="F26" s="4">
        <v>1</v>
      </c>
    </row>
    <row r="27" spans="1:6">
      <c r="B27" t="s">
        <v>17</v>
      </c>
      <c r="D27">
        <v>1</v>
      </c>
      <c r="F27" s="4">
        <v>1</v>
      </c>
    </row>
    <row r="28" spans="1:6">
      <c r="B28" t="s">
        <v>14</v>
      </c>
      <c r="C28">
        <v>1</v>
      </c>
      <c r="F28" s="4">
        <v>1</v>
      </c>
    </row>
    <row r="29" spans="1:6">
      <c r="A29" t="s">
        <v>33</v>
      </c>
      <c r="C29">
        <v>1</v>
      </c>
      <c r="D29">
        <v>3</v>
      </c>
      <c r="E29">
        <v>3</v>
      </c>
      <c r="F29" s="4">
        <v>7</v>
      </c>
    </row>
    <row r="30" spans="1:6">
      <c r="A30" t="s">
        <v>12</v>
      </c>
      <c r="B30" t="s">
        <v>13</v>
      </c>
      <c r="D30">
        <v>1</v>
      </c>
      <c r="F30" s="4">
        <v>1</v>
      </c>
    </row>
    <row r="31" spans="1:6">
      <c r="B31" t="s">
        <v>23</v>
      </c>
      <c r="E31">
        <v>1</v>
      </c>
      <c r="F31" s="4">
        <v>1</v>
      </c>
    </row>
    <row r="32" spans="1:6">
      <c r="B32" t="s">
        <v>24</v>
      </c>
      <c r="E32">
        <v>1</v>
      </c>
      <c r="F32" s="4">
        <v>1</v>
      </c>
    </row>
    <row r="33" spans="1:6">
      <c r="B33" t="s">
        <v>16</v>
      </c>
      <c r="C33">
        <v>1</v>
      </c>
      <c r="F33" s="4">
        <v>1</v>
      </c>
    </row>
    <row r="34" spans="1:6">
      <c r="B34" t="s">
        <v>11</v>
      </c>
      <c r="D34">
        <v>1</v>
      </c>
      <c r="F34" s="4">
        <v>1</v>
      </c>
    </row>
    <row r="35" spans="1:6">
      <c r="B35" t="s">
        <v>14</v>
      </c>
      <c r="D35">
        <v>1</v>
      </c>
      <c r="F35" s="4">
        <v>1</v>
      </c>
    </row>
    <row r="36" spans="1:6">
      <c r="A36" t="s">
        <v>34</v>
      </c>
      <c r="C36">
        <v>1</v>
      </c>
      <c r="D36">
        <v>3</v>
      </c>
      <c r="E36">
        <v>2</v>
      </c>
      <c r="F36" s="4">
        <v>6</v>
      </c>
    </row>
    <row r="37" spans="1:6">
      <c r="A37" t="s">
        <v>29</v>
      </c>
      <c r="C37">
        <v>3</v>
      </c>
      <c r="D37">
        <v>6</v>
      </c>
      <c r="E37">
        <v>19</v>
      </c>
      <c r="F37" s="4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F9B1D-76C1-405D-9F76-A1C00A47B62B}">
  <dimension ref="A3:E15"/>
  <sheetViews>
    <sheetView tabSelected="1" workbookViewId="0">
      <selection activeCell="C15" sqref="C15"/>
    </sheetView>
  </sheetViews>
  <sheetFormatPr defaultRowHeight="15"/>
  <cols>
    <col min="1" max="1" width="17.42578125" bestFit="1" customWidth="1"/>
    <col min="2" max="2" width="16.140625" bestFit="1" customWidth="1"/>
    <col min="3" max="3" width="5.5703125" bestFit="1" customWidth="1"/>
    <col min="4" max="4" width="6.28515625" bestFit="1" customWidth="1"/>
    <col min="5" max="5" width="11.42578125" bestFit="1" customWidth="1"/>
  </cols>
  <sheetData>
    <row r="3" spans="1:5">
      <c r="A3" s="3" t="s">
        <v>35</v>
      </c>
      <c r="B3" s="3" t="s">
        <v>7</v>
      </c>
    </row>
    <row r="4" spans="1:5">
      <c r="A4" s="3" t="s">
        <v>3</v>
      </c>
      <c r="B4" t="s">
        <v>27</v>
      </c>
      <c r="C4" t="s">
        <v>28</v>
      </c>
      <c r="D4" t="s">
        <v>6</v>
      </c>
      <c r="E4" t="s">
        <v>29</v>
      </c>
    </row>
    <row r="5" spans="1:5">
      <c r="A5" t="s">
        <v>21</v>
      </c>
      <c r="B5" s="4"/>
      <c r="C5" s="4"/>
      <c r="D5" s="4">
        <v>2000</v>
      </c>
      <c r="E5" s="4">
        <v>2000</v>
      </c>
    </row>
    <row r="6" spans="1:5">
      <c r="A6" t="s">
        <v>13</v>
      </c>
      <c r="B6" s="4"/>
      <c r="C6" s="4">
        <v>-500</v>
      </c>
      <c r="D6" s="4"/>
      <c r="E6" s="4">
        <v>-500</v>
      </c>
    </row>
    <row r="7" spans="1:5">
      <c r="A7" t="s">
        <v>19</v>
      </c>
      <c r="B7" s="4"/>
      <c r="C7" s="4"/>
      <c r="D7" s="4">
        <v>1200</v>
      </c>
      <c r="E7" s="4">
        <v>1200</v>
      </c>
    </row>
    <row r="8" spans="1:5">
      <c r="A8" t="s">
        <v>25</v>
      </c>
      <c r="B8" s="4"/>
      <c r="C8" s="4"/>
      <c r="D8" s="4">
        <v>3500</v>
      </c>
      <c r="E8" s="4">
        <v>3500</v>
      </c>
    </row>
    <row r="9" spans="1:5">
      <c r="A9" t="s">
        <v>23</v>
      </c>
      <c r="B9" s="4"/>
      <c r="C9" s="4"/>
      <c r="D9" s="4">
        <v>2500</v>
      </c>
      <c r="E9" s="4">
        <v>2500</v>
      </c>
    </row>
    <row r="10" spans="1:5">
      <c r="A10" t="s">
        <v>24</v>
      </c>
      <c r="B10" s="4"/>
      <c r="C10" s="4"/>
      <c r="D10" s="4">
        <v>6200</v>
      </c>
      <c r="E10" s="4">
        <v>6200</v>
      </c>
    </row>
    <row r="11" spans="1:5">
      <c r="A11" t="s">
        <v>16</v>
      </c>
      <c r="B11" s="4">
        <v>0</v>
      </c>
      <c r="C11" s="4">
        <v>-400</v>
      </c>
      <c r="D11" s="4">
        <v>700</v>
      </c>
      <c r="E11" s="4">
        <v>300</v>
      </c>
    </row>
    <row r="12" spans="1:5">
      <c r="A12" t="s">
        <v>11</v>
      </c>
      <c r="B12" s="4"/>
      <c r="C12" s="4">
        <v>-1500</v>
      </c>
      <c r="D12" s="4">
        <v>2500</v>
      </c>
      <c r="E12" s="4">
        <v>1000</v>
      </c>
    </row>
    <row r="13" spans="1:5">
      <c r="A13" t="s">
        <v>17</v>
      </c>
      <c r="B13" s="4">
        <v>0</v>
      </c>
      <c r="C13" s="4">
        <v>-200</v>
      </c>
      <c r="D13" s="4">
        <v>1500</v>
      </c>
      <c r="E13" s="4">
        <v>1300</v>
      </c>
    </row>
    <row r="14" spans="1:5">
      <c r="A14" t="s">
        <v>14</v>
      </c>
      <c r="B14" s="4">
        <v>0</v>
      </c>
      <c r="C14" s="4">
        <v>-500</v>
      </c>
      <c r="D14" s="4">
        <v>1500</v>
      </c>
      <c r="E14" s="4">
        <v>1000</v>
      </c>
    </row>
    <row r="15" spans="1:5">
      <c r="A15" t="s">
        <v>29</v>
      </c>
      <c r="B15" s="4">
        <v>0</v>
      </c>
      <c r="C15" s="4">
        <v>-3100</v>
      </c>
      <c r="D15" s="4">
        <v>21600</v>
      </c>
      <c r="E15" s="4">
        <v>18500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D72B-5307-4B82-9195-12F20BF230C1}">
  <dimension ref="A3:C42"/>
  <sheetViews>
    <sheetView workbookViewId="0">
      <selection activeCell="G15" sqref="G15"/>
    </sheetView>
  </sheetViews>
  <sheetFormatPr defaultRowHeight="15"/>
  <cols>
    <col min="1" max="1" width="17.42578125" bestFit="1" customWidth="1"/>
    <col min="2" max="2" width="11.85546875" bestFit="1" customWidth="1"/>
    <col min="3" max="3" width="26.7109375" bestFit="1" customWidth="1"/>
    <col min="4" max="4" width="7.42578125" bestFit="1" customWidth="1"/>
    <col min="5" max="5" width="4.85546875" bestFit="1" customWidth="1"/>
    <col min="6" max="6" width="11.42578125" bestFit="1" customWidth="1"/>
    <col min="7" max="7" width="9" bestFit="1" customWidth="1"/>
    <col min="8" max="8" width="7.42578125" bestFit="1" customWidth="1"/>
    <col min="9" max="9" width="4.85546875" bestFit="1" customWidth="1"/>
    <col min="10" max="10" width="12" bestFit="1" customWidth="1"/>
    <col min="11" max="11" width="9" bestFit="1" customWidth="1"/>
    <col min="12" max="12" width="7.42578125" bestFit="1" customWidth="1"/>
    <col min="13" max="13" width="4.85546875" bestFit="1" customWidth="1"/>
    <col min="14" max="15" width="11.42578125" bestFit="1" customWidth="1"/>
  </cols>
  <sheetData>
    <row r="3" spans="1:3">
      <c r="A3" s="3" t="s">
        <v>3</v>
      </c>
      <c r="B3" s="3" t="s">
        <v>1</v>
      </c>
      <c r="C3" s="3" t="s">
        <v>8</v>
      </c>
    </row>
    <row r="4" spans="1:3">
      <c r="A4" t="s">
        <v>21</v>
      </c>
      <c r="B4" t="s">
        <v>20</v>
      </c>
      <c r="C4" t="s">
        <v>36</v>
      </c>
    </row>
    <row r="5" spans="1:3">
      <c r="B5" t="s">
        <v>9</v>
      </c>
      <c r="C5" t="s">
        <v>36</v>
      </c>
    </row>
    <row r="7" spans="1:3">
      <c r="A7" t="s">
        <v>13</v>
      </c>
      <c r="B7" t="s">
        <v>12</v>
      </c>
      <c r="C7" t="s">
        <v>37</v>
      </c>
    </row>
    <row r="9" spans="1:3">
      <c r="A9" t="s">
        <v>19</v>
      </c>
      <c r="B9" t="s">
        <v>18</v>
      </c>
      <c r="C9" t="s">
        <v>36</v>
      </c>
    </row>
    <row r="10" spans="1:3">
      <c r="B10" t="s">
        <v>20</v>
      </c>
      <c r="C10" t="s">
        <v>36</v>
      </c>
    </row>
    <row r="12" spans="1:3">
      <c r="A12" t="s">
        <v>25</v>
      </c>
      <c r="B12" t="s">
        <v>18</v>
      </c>
      <c r="C12" t="s">
        <v>36</v>
      </c>
    </row>
    <row r="13" spans="1:3">
      <c r="B13" t="s">
        <v>20</v>
      </c>
      <c r="C13" t="s">
        <v>36</v>
      </c>
    </row>
    <row r="15" spans="1:3">
      <c r="A15" t="s">
        <v>23</v>
      </c>
      <c r="B15" t="s">
        <v>9</v>
      </c>
      <c r="C15" t="s">
        <v>36</v>
      </c>
    </row>
    <row r="16" spans="1:3">
      <c r="B16" t="s">
        <v>12</v>
      </c>
      <c r="C16" t="s">
        <v>36</v>
      </c>
    </row>
    <row r="18" spans="1:3">
      <c r="A18" t="s">
        <v>24</v>
      </c>
      <c r="B18" t="s">
        <v>18</v>
      </c>
      <c r="C18" t="s">
        <v>36</v>
      </c>
    </row>
    <row r="19" spans="1:3">
      <c r="B19" t="s">
        <v>20</v>
      </c>
      <c r="C19" t="s">
        <v>36</v>
      </c>
    </row>
    <row r="20" spans="1:3">
      <c r="B20" t="s">
        <v>9</v>
      </c>
      <c r="C20" t="s">
        <v>36</v>
      </c>
    </row>
    <row r="21" spans="1:3">
      <c r="B21" t="s">
        <v>12</v>
      </c>
      <c r="C21" t="s">
        <v>36</v>
      </c>
    </row>
    <row r="23" spans="1:3">
      <c r="A23" t="s">
        <v>16</v>
      </c>
      <c r="B23" t="s">
        <v>18</v>
      </c>
      <c r="C23" t="s">
        <v>36</v>
      </c>
    </row>
    <row r="24" spans="1:3">
      <c r="B24" t="s">
        <v>20</v>
      </c>
      <c r="C24" t="s">
        <v>36</v>
      </c>
    </row>
    <row r="25" spans="1:3">
      <c r="B25" t="s">
        <v>9</v>
      </c>
      <c r="C25" t="s">
        <v>37</v>
      </c>
    </row>
    <row r="26" spans="1:3">
      <c r="B26" t="s">
        <v>12</v>
      </c>
      <c r="C26" t="s">
        <v>38</v>
      </c>
    </row>
    <row r="28" spans="1:3">
      <c r="A28" t="s">
        <v>11</v>
      </c>
      <c r="B28" t="s">
        <v>18</v>
      </c>
      <c r="C28" t="s">
        <v>36</v>
      </c>
    </row>
    <row r="29" spans="1:3">
      <c r="B29" t="s">
        <v>20</v>
      </c>
      <c r="C29" t="s">
        <v>36</v>
      </c>
    </row>
    <row r="30" spans="1:3">
      <c r="B30" t="s">
        <v>9</v>
      </c>
      <c r="C30" t="s">
        <v>37</v>
      </c>
    </row>
    <row r="31" spans="1:3">
      <c r="B31" t="s">
        <v>12</v>
      </c>
      <c r="C31" t="s">
        <v>37</v>
      </c>
    </row>
    <row r="33" spans="1:3">
      <c r="A33" t="s">
        <v>17</v>
      </c>
      <c r="B33" t="s">
        <v>18</v>
      </c>
      <c r="C33" t="s">
        <v>38</v>
      </c>
    </row>
    <row r="34" spans="1:3">
      <c r="B34" t="s">
        <v>20</v>
      </c>
      <c r="C34" t="s">
        <v>36</v>
      </c>
    </row>
    <row r="35" spans="1:3">
      <c r="B35" t="s">
        <v>9</v>
      </c>
      <c r="C35" t="s">
        <v>37</v>
      </c>
    </row>
    <row r="37" spans="1:3">
      <c r="A37" t="s">
        <v>14</v>
      </c>
      <c r="B37" t="s">
        <v>18</v>
      </c>
      <c r="C37" t="s">
        <v>36</v>
      </c>
    </row>
    <row r="38" spans="1:3">
      <c r="B38" t="s">
        <v>20</v>
      </c>
      <c r="C38" t="s">
        <v>36</v>
      </c>
    </row>
    <row r="39" spans="1:3">
      <c r="B39" t="s">
        <v>9</v>
      </c>
      <c r="C39" t="s">
        <v>38</v>
      </c>
    </row>
    <row r="40" spans="1:3">
      <c r="B40" t="s">
        <v>12</v>
      </c>
      <c r="C40" t="s">
        <v>37</v>
      </c>
    </row>
    <row r="42" spans="1:3">
      <c r="A42" t="s">
        <v>29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2026-01-01T16:03:21Z</dcterms:created>
  <dcterms:modified xsi:type="dcterms:W3CDTF">2026-01-02T08:27:43Z</dcterms:modified>
  <cp:category/>
  <cp:contentStatus/>
</cp:coreProperties>
</file>